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egion\Downloads\MATLAB\CumTaoTai\"/>
    </mc:Choice>
  </mc:AlternateContent>
  <xr:revisionPtr revIDLastSave="0" documentId="13_ncr:1_{968B9A7C-52FF-4026-8EAC-04568B7FDB56}" xr6:coauthVersionLast="47" xr6:coauthVersionMax="47" xr10:uidLastSave="{00000000-0000-0000-0000-000000000000}"/>
  <bookViews>
    <workbookView xWindow="-110" yWindow="-110" windowWidth="25820" windowHeight="15500" xr2:uid="{F5CF1241-AFDC-4508-BCD2-933D9B7D63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2" i="1"/>
  <c r="F3" i="1"/>
  <c r="F4" i="1"/>
  <c r="F5" i="1"/>
  <c r="F6" i="1"/>
  <c r="F7" i="1"/>
  <c r="F8" i="1"/>
  <c r="F9" i="1"/>
  <c r="F10" i="1"/>
  <c r="F11" i="1"/>
  <c r="F12" i="1"/>
  <c r="F2" i="1"/>
  <c r="D2" i="1"/>
  <c r="D3" i="1"/>
  <c r="D4" i="1"/>
  <c r="D5" i="1"/>
  <c r="D6" i="1"/>
  <c r="D7" i="1"/>
  <c r="D8" i="1"/>
  <c r="D9" i="1"/>
  <c r="D10" i="1"/>
  <c r="D11" i="1"/>
  <c r="D12" i="1"/>
</calcChain>
</file>

<file path=xl/sharedStrings.xml><?xml version="1.0" encoding="utf-8"?>
<sst xmlns="http://schemas.openxmlformats.org/spreadsheetml/2006/main" count="7" uniqueCount="7">
  <si>
    <t>Voltage</t>
  </si>
  <si>
    <t>Current</t>
  </si>
  <si>
    <t>RollerSpeed(RPM)</t>
  </si>
  <si>
    <t>w_cl(rad/s)</t>
  </si>
  <si>
    <t>Current cam bien</t>
  </si>
  <si>
    <t>Tm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</si>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</sst>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Dòng điện cụm tạo tải theo w_cl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0"/>
            <c:dispRSqr val="1"/>
            <c:dispEq val="1"/>
            <c:trendlineLbl>
              <c:layout>
                <c:manualLayout>
                  <c:x val="-0.24440310586176728"/>
                  <c:y val="8.0635753864100317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Sheet1!$D$2:$D$12</c:f>
              <c:numCache>
                <c:formatCode>General</c:formatCode>
                <c:ptCount val="11"/>
                <c:pt idx="0">
                  <c:v>10.463880674895227</c:v>
                </c:pt>
                <c:pt idx="1">
                  <c:v>20.739956940958855</c:v>
                </c:pt>
                <c:pt idx="2">
                  <c:v>31.488287886685612</c:v>
                </c:pt>
                <c:pt idx="3">
                  <c:v>42.759170410459475</c:v>
                </c:pt>
                <c:pt idx="4">
                  <c:v>53.289370106271988</c:v>
                </c:pt>
                <c:pt idx="5">
                  <c:v>64.217085992518719</c:v>
                </c:pt>
                <c:pt idx="6">
                  <c:v>76.963784025193959</c:v>
                </c:pt>
                <c:pt idx="7">
                  <c:v>91.137917039905261</c:v>
                </c:pt>
                <c:pt idx="8">
                  <c:v>101.85776421223947</c:v>
                </c:pt>
                <c:pt idx="9">
                  <c:v>115.44515243901533</c:v>
                </c:pt>
                <c:pt idx="10">
                  <c:v>119.4213615409088</c:v>
                </c:pt>
              </c:numCache>
            </c:numRef>
          </c:xVal>
          <c:yVal>
            <c:numRef>
              <c:f>Sheet1!$B$2:$B$12</c:f>
              <c:numCache>
                <c:formatCode>General</c:formatCode>
                <c:ptCount val="11"/>
                <c:pt idx="0">
                  <c:v>8.4</c:v>
                </c:pt>
                <c:pt idx="1">
                  <c:v>9.6</c:v>
                </c:pt>
                <c:pt idx="2">
                  <c:v>10.4</c:v>
                </c:pt>
                <c:pt idx="3">
                  <c:v>11</c:v>
                </c:pt>
                <c:pt idx="4">
                  <c:v>11.5</c:v>
                </c:pt>
                <c:pt idx="5">
                  <c:v>12.1</c:v>
                </c:pt>
                <c:pt idx="6">
                  <c:v>12.7</c:v>
                </c:pt>
                <c:pt idx="7">
                  <c:v>14.2</c:v>
                </c:pt>
                <c:pt idx="8">
                  <c:v>14.3</c:v>
                </c:pt>
                <c:pt idx="9">
                  <c:v>14.8</c:v>
                </c:pt>
                <c:pt idx="10">
                  <c:v>15.5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8F-441F-B844-3EE3FC92A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581632"/>
        <c:axId val="666580672"/>
      </c:scatterChart>
      <c:valAx>
        <c:axId val="66658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w_bx (rad/s)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580672"/>
        <c:crosses val="autoZero"/>
        <c:crossBetween val="midCat"/>
      </c:valAx>
      <c:valAx>
        <c:axId val="66658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Dòng diện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5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Momen điện từ theo w_cl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0"/>
            <c:dispRSqr val="0"/>
            <c:dispEq val="1"/>
            <c:trendlineLbl>
              <c:layout>
                <c:manualLayout>
                  <c:x val="-0.27869181977252844"/>
                  <c:y val="3.19907407407407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Sheet1!$D$2:$D$12</c:f>
              <c:numCache>
                <c:formatCode>General</c:formatCode>
                <c:ptCount val="11"/>
                <c:pt idx="0">
                  <c:v>10.463880674895227</c:v>
                </c:pt>
                <c:pt idx="1">
                  <c:v>20.739956940958855</c:v>
                </c:pt>
                <c:pt idx="2">
                  <c:v>31.488287886685612</c:v>
                </c:pt>
                <c:pt idx="3">
                  <c:v>42.759170410459475</c:v>
                </c:pt>
                <c:pt idx="4">
                  <c:v>53.289370106271988</c:v>
                </c:pt>
                <c:pt idx="5">
                  <c:v>64.217085992518719</c:v>
                </c:pt>
                <c:pt idx="6">
                  <c:v>76.963784025193959</c:v>
                </c:pt>
                <c:pt idx="7">
                  <c:v>91.137917039905261</c:v>
                </c:pt>
                <c:pt idx="8">
                  <c:v>101.85776421223947</c:v>
                </c:pt>
                <c:pt idx="9">
                  <c:v>115.44515243901533</c:v>
                </c:pt>
                <c:pt idx="10">
                  <c:v>119.4213615409088</c:v>
                </c:pt>
              </c:numCache>
            </c:numRef>
          </c:xVal>
          <c:yVal>
            <c:numRef>
              <c:f>Sheet1!$F$2:$F$12</c:f>
              <c:numCache>
                <c:formatCode>General</c:formatCode>
                <c:ptCount val="11"/>
                <c:pt idx="0">
                  <c:v>0.3213937080739156</c:v>
                </c:pt>
                <c:pt idx="1">
                  <c:v>0.3437505451198889</c:v>
                </c:pt>
                <c:pt idx="2">
                  <c:v>0.36713482889203097</c:v>
                </c:pt>
                <c:pt idx="3">
                  <c:v>0.39165598632840387</c:v>
                </c:pt>
                <c:pt idx="4">
                  <c:v>0.4145656993906075</c:v>
                </c:pt>
                <c:pt idx="5">
                  <c:v>0.43834025662704357</c:v>
                </c:pt>
                <c:pt idx="6">
                  <c:v>0.46607222780089252</c:v>
                </c:pt>
                <c:pt idx="7">
                  <c:v>0.49690975507035873</c:v>
                </c:pt>
                <c:pt idx="8">
                  <c:v>0.52023206897543239</c:v>
                </c:pt>
                <c:pt idx="9">
                  <c:v>0.54979306254937055</c:v>
                </c:pt>
                <c:pt idx="10">
                  <c:v>0.5584437825956321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06-4537-9BCE-DB69E3D17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874448"/>
        <c:axId val="539874928"/>
      </c:scatterChart>
      <c:valAx>
        <c:axId val="53987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w_bx (rad/s)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874928"/>
        <c:crosses val="autoZero"/>
        <c:crossBetween val="midCat"/>
      </c:valAx>
      <c:valAx>
        <c:axId val="53987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Momen điện từ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87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Momen tổn hao cơ giới theo w_cl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10"/>
            <c:dispRSqr val="0"/>
            <c:dispEq val="1"/>
            <c:trendlineLbl>
              <c:layout>
                <c:manualLayout>
                  <c:x val="-0.16480293088363954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Sheet1!$D$2:$D$12</c:f>
              <c:numCache>
                <c:formatCode>General</c:formatCode>
                <c:ptCount val="11"/>
                <c:pt idx="0">
                  <c:v>10.463880674895227</c:v>
                </c:pt>
                <c:pt idx="1">
                  <c:v>20.739956940958855</c:v>
                </c:pt>
                <c:pt idx="2">
                  <c:v>31.488287886685612</c:v>
                </c:pt>
                <c:pt idx="3">
                  <c:v>42.759170410459475</c:v>
                </c:pt>
                <c:pt idx="4">
                  <c:v>53.289370106271988</c:v>
                </c:pt>
                <c:pt idx="5">
                  <c:v>64.217085992518719</c:v>
                </c:pt>
                <c:pt idx="6">
                  <c:v>76.963784025193959</c:v>
                </c:pt>
                <c:pt idx="7">
                  <c:v>91.137917039905261</c:v>
                </c:pt>
                <c:pt idx="8">
                  <c:v>101.85776421223947</c:v>
                </c:pt>
                <c:pt idx="9">
                  <c:v>115.44515243901533</c:v>
                </c:pt>
                <c:pt idx="10">
                  <c:v>119.4213615409088</c:v>
                </c:pt>
              </c:numCache>
            </c:numRef>
          </c:xVal>
          <c:yVal>
            <c:numRef>
              <c:f>Sheet1!$G$2:$G$12</c:f>
              <c:numCache>
                <c:formatCode>General</c:formatCode>
                <c:ptCount val="11"/>
                <c:pt idx="0">
                  <c:v>0.64278741614783119</c:v>
                </c:pt>
                <c:pt idx="1">
                  <c:v>0.68750109023977779</c:v>
                </c:pt>
                <c:pt idx="2">
                  <c:v>0.73426965778406195</c:v>
                </c:pt>
                <c:pt idx="3">
                  <c:v>0.78331197265680774</c:v>
                </c:pt>
                <c:pt idx="4">
                  <c:v>0.829131398781215</c:v>
                </c:pt>
                <c:pt idx="5">
                  <c:v>0.87668051325408713</c:v>
                </c:pt>
                <c:pt idx="6">
                  <c:v>0.93214445560178505</c:v>
                </c:pt>
                <c:pt idx="7">
                  <c:v>0.99381951014071745</c:v>
                </c:pt>
                <c:pt idx="8">
                  <c:v>1.0404641379508648</c:v>
                </c:pt>
                <c:pt idx="9">
                  <c:v>1.0995861250987411</c:v>
                </c:pt>
                <c:pt idx="10">
                  <c:v>1.1168875651912642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86-4243-8855-C349BA81A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721440"/>
        <c:axId val="670724320"/>
      </c:scatterChart>
      <c:valAx>
        <c:axId val="67072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w_bx (rad/s)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724320"/>
        <c:crosses val="autoZero"/>
        <c:crossBetween val="midCat"/>
      </c:valAx>
      <c:valAx>
        <c:axId val="67072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Momen tổn hao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721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168275</xdr:colOff>
      <xdr:row>14</xdr:row>
      <xdr:rowOff>107950</xdr:rowOff>
    </xdr:from>
    <xdr:to>
      <xdr:col>13</xdr:col>
      <xdr:colOff>473075</xdr:colOff>
      <xdr:row>29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507A9E-EC5D-B384-ACDF-48FAAE9D9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473075</xdr:colOff>
      <xdr:row>14</xdr:row>
      <xdr:rowOff>12700</xdr:rowOff>
    </xdr:from>
    <xdr:to>
      <xdr:col>22</xdr:col>
      <xdr:colOff>168275</xdr:colOff>
      <xdr:row>28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C70FE7-1972-EFEB-832A-C60613D9A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117475</xdr:colOff>
      <xdr:row>0</xdr:row>
      <xdr:rowOff>38100</xdr:rowOff>
    </xdr:from>
    <xdr:to>
      <xdr:col>17</xdr:col>
      <xdr:colOff>422275</xdr:colOff>
      <xdr:row>15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10830B-8B1F-9189-EE71-C114BB260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34389-F6BF-4501-99FE-04AC0DEAB77F}">
  <dimension ref="A1:G12"/>
  <sheetViews>
    <sheetView tabSelected="1" workbookViewId="0">
      <selection activeCell="T8" sqref="T8"/>
    </sheetView>
  </sheetViews>
  <sheetFormatPr defaultRowHeight="14.5" x14ac:dyDescent="0.35"/>
  <cols>
    <col min="3" max="3" width="18.90625" customWidth="1"/>
    <col min="5" max="5" width="16.269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>
        <v>8.4</v>
      </c>
      <c r="C2">
        <v>99.922700000000006</v>
      </c>
      <c r="D2">
        <f>C2*2*PI()/60</f>
        <v>10.463880674895227</v>
      </c>
      <c r="E2">
        <v>8.5600100000000001</v>
      </c>
      <c r="F2">
        <f>0.0362*(0.0601*D2+8.2494)</f>
        <v>0.3213937080739156</v>
      </c>
      <c r="G2">
        <f>2*F2</f>
        <v>0.64278741614783119</v>
      </c>
    </row>
    <row r="3" spans="1:7" x14ac:dyDescent="0.35">
      <c r="A3">
        <v>3</v>
      </c>
      <c r="B3">
        <v>9.6</v>
      </c>
      <c r="C3">
        <v>198.05199999999999</v>
      </c>
      <c r="D3">
        <f t="shared" ref="D3:D12" si="0">C3*2*PI()/60</f>
        <v>20.739956940958855</v>
      </c>
      <c r="E3">
        <v>9.64</v>
      </c>
      <c r="F3">
        <f t="shared" ref="F3:F12" si="1">0.0362*(0.0601*D3+8.2494)</f>
        <v>0.3437505451198889</v>
      </c>
      <c r="G3">
        <f t="shared" ref="G3:G12" si="2">2*F3</f>
        <v>0.68750109023977779</v>
      </c>
    </row>
    <row r="4" spans="1:7" x14ac:dyDescent="0.35">
      <c r="A4">
        <v>4</v>
      </c>
      <c r="B4">
        <v>10.4</v>
      </c>
      <c r="C4">
        <v>300.69099999999997</v>
      </c>
      <c r="D4">
        <f t="shared" si="0"/>
        <v>31.488287886685612</v>
      </c>
      <c r="E4">
        <v>10.5</v>
      </c>
      <c r="F4">
        <f t="shared" si="1"/>
        <v>0.36713482889203097</v>
      </c>
      <c r="G4">
        <f t="shared" si="2"/>
        <v>0.73426965778406195</v>
      </c>
    </row>
    <row r="5" spans="1:7" x14ac:dyDescent="0.35">
      <c r="A5">
        <v>5</v>
      </c>
      <c r="B5">
        <v>11</v>
      </c>
      <c r="C5">
        <v>408.32</v>
      </c>
      <c r="D5">
        <f t="shared" si="0"/>
        <v>42.759170410459475</v>
      </c>
      <c r="E5">
        <v>11</v>
      </c>
      <c r="F5">
        <f t="shared" si="1"/>
        <v>0.39165598632840387</v>
      </c>
      <c r="G5">
        <f t="shared" si="2"/>
        <v>0.78331197265680774</v>
      </c>
    </row>
    <row r="6" spans="1:7" x14ac:dyDescent="0.35">
      <c r="A6">
        <v>6</v>
      </c>
      <c r="B6">
        <v>11.5</v>
      </c>
      <c r="C6">
        <v>508.87599999999998</v>
      </c>
      <c r="D6">
        <f t="shared" si="0"/>
        <v>53.289370106271988</v>
      </c>
      <c r="E6">
        <v>11.6</v>
      </c>
      <c r="F6">
        <f t="shared" si="1"/>
        <v>0.4145656993906075</v>
      </c>
      <c r="G6">
        <f t="shared" si="2"/>
        <v>0.829131398781215</v>
      </c>
    </row>
    <row r="7" spans="1:7" x14ac:dyDescent="0.35">
      <c r="A7">
        <v>7</v>
      </c>
      <c r="B7">
        <v>12.1</v>
      </c>
      <c r="C7">
        <v>613.22799999999995</v>
      </c>
      <c r="D7">
        <f t="shared" si="0"/>
        <v>64.217085992518719</v>
      </c>
      <c r="E7">
        <v>12.2</v>
      </c>
      <c r="F7">
        <f t="shared" si="1"/>
        <v>0.43834025662704357</v>
      </c>
      <c r="G7">
        <f t="shared" si="2"/>
        <v>0.87668051325408713</v>
      </c>
    </row>
    <row r="8" spans="1:7" x14ac:dyDescent="0.35">
      <c r="A8">
        <v>8</v>
      </c>
      <c r="B8">
        <v>12.7</v>
      </c>
      <c r="C8">
        <v>734.95</v>
      </c>
      <c r="D8">
        <f t="shared" si="0"/>
        <v>76.963784025193959</v>
      </c>
      <c r="E8">
        <v>12.7</v>
      </c>
      <c r="F8">
        <f t="shared" si="1"/>
        <v>0.46607222780089252</v>
      </c>
      <c r="G8">
        <f t="shared" si="2"/>
        <v>0.93214445560178505</v>
      </c>
    </row>
    <row r="9" spans="1:7" x14ac:dyDescent="0.35">
      <c r="A9">
        <v>9</v>
      </c>
      <c r="B9">
        <v>14.2</v>
      </c>
      <c r="C9">
        <v>870.303</v>
      </c>
      <c r="D9">
        <f t="shared" si="0"/>
        <v>91.137917039905261</v>
      </c>
      <c r="E9">
        <v>14.1</v>
      </c>
      <c r="F9">
        <f t="shared" si="1"/>
        <v>0.49690975507035873</v>
      </c>
      <c r="G9">
        <f t="shared" si="2"/>
        <v>0.99381951014071745</v>
      </c>
    </row>
    <row r="10" spans="1:7" x14ac:dyDescent="0.35">
      <c r="A10">
        <v>10</v>
      </c>
      <c r="B10">
        <v>14.3</v>
      </c>
      <c r="C10">
        <v>972.67</v>
      </c>
      <c r="D10">
        <f t="shared" si="0"/>
        <v>101.85776421223947</v>
      </c>
      <c r="E10">
        <v>14.1</v>
      </c>
      <c r="F10">
        <f t="shared" si="1"/>
        <v>0.52023206897543239</v>
      </c>
      <c r="G10">
        <f t="shared" si="2"/>
        <v>1.0404641379508648</v>
      </c>
    </row>
    <row r="11" spans="1:7" x14ac:dyDescent="0.35">
      <c r="A11">
        <v>11</v>
      </c>
      <c r="B11">
        <v>14.8</v>
      </c>
      <c r="C11">
        <v>1102.42</v>
      </c>
      <c r="D11">
        <f t="shared" si="0"/>
        <v>115.44515243901533</v>
      </c>
      <c r="E11">
        <v>14.7</v>
      </c>
      <c r="F11">
        <f t="shared" si="1"/>
        <v>0.54979306254937055</v>
      </c>
      <c r="G11">
        <f t="shared" si="2"/>
        <v>1.0995861250987411</v>
      </c>
    </row>
    <row r="12" spans="1:7" x14ac:dyDescent="0.35">
      <c r="A12">
        <v>12</v>
      </c>
      <c r="B12">
        <v>15.5</v>
      </c>
      <c r="C12">
        <v>1140.3900000000001</v>
      </c>
      <c r="D12">
        <f t="shared" si="0"/>
        <v>119.4213615409088</v>
      </c>
      <c r="E12">
        <v>15.5</v>
      </c>
      <c r="F12">
        <f t="shared" si="1"/>
        <v>0.5584437825956321</v>
      </c>
      <c r="G12">
        <f t="shared" si="2"/>
        <v>1.1168875651912642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2025-05-07T04:07:24Z</dcterms:created>
  <dcterms:modified xsi:type="dcterms:W3CDTF">2025-05-19T17:09:18Z</dcterms:modified>
</cp:coreProperties>
</file>