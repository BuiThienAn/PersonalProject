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gion\Downloads\MATLAB\CumDongLucTST15\"/>
    </mc:Choice>
  </mc:AlternateContent>
  <xr:revisionPtr revIDLastSave="0" documentId="13_ncr:1_{A144BBCD-DF27-4A0F-A06D-00A0E0DFE501}" xr6:coauthVersionLast="47" xr6:coauthVersionMax="47" xr10:uidLastSave="{00000000-0000-0000-0000-000000000000}"/>
  <bookViews>
    <workbookView xWindow="-110" yWindow="-110" windowWidth="25820" windowHeight="15500" xr2:uid="{F5CF1241-AFDC-4508-BCD2-933D9B7D6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13" i="1"/>
  <c r="E14" i="1"/>
  <c r="E15" i="1"/>
  <c r="E16" i="1"/>
  <c r="E2" i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<sst xmlns="http://schemas.openxmlformats.org/spreadsheetml/2006/main" count="8" uniqueCount="8">
  <si>
    <t>Voltage</t>
  </si>
  <si>
    <t>WheelSpeed(RPM)</t>
  </si>
  <si>
    <t>w_bx(rad/s)</t>
  </si>
  <si>
    <t>Current cảm biến</t>
  </si>
  <si>
    <t>Current Fluke</t>
  </si>
  <si>
    <t>ADC_CamBienDong</t>
  </si>
  <si>
    <t>Tm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</si>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</sst>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Dòng</a:t>
            </a:r>
            <a:r>
              <a:rPr lang="en-US" b="1" baseline="0"/>
              <a:t> điện </a:t>
            </a:r>
            <a:r>
              <a:rPr lang="en-US" b="1"/>
              <a:t>cụm động lực theo w_bx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0"/>
            <c:dispRSqr val="1"/>
            <c:dispEq val="1"/>
            <c:trendlineLbl>
              <c:layout>
                <c:manualLayout>
                  <c:x val="-0.19235126263168056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Sheet1!$E$2:$E$16</c:f>
              <c:numCache>
                <c:formatCode>General</c:formatCode>
                <c:ptCount val="15"/>
                <c:pt idx="0">
                  <c:v>7.0205904068056952</c:v>
                </c:pt>
                <c:pt idx="1">
                  <c:v>8.6021623964024041</c:v>
                </c:pt>
                <c:pt idx="2">
                  <c:v>10.096052535037423</c:v>
                </c:pt>
                <c:pt idx="3">
                  <c:v>12.291062378149586</c:v>
                </c:pt>
                <c:pt idx="4">
                  <c:v>13.40109178241798</c:v>
                </c:pt>
                <c:pt idx="5">
                  <c:v>15.200177175373737</c:v>
                </c:pt>
                <c:pt idx="6">
                  <c:v>16.966380565221915</c:v>
                </c:pt>
                <c:pt idx="7">
                  <c:v>18.677920242897635</c:v>
                </c:pt>
                <c:pt idx="8">
                  <c:v>21.372883140902083</c:v>
                </c:pt>
                <c:pt idx="9">
                  <c:v>22.164564489606711</c:v>
                </c:pt>
                <c:pt idx="10">
                  <c:v>24.19528998088715</c:v>
                </c:pt>
                <c:pt idx="11">
                  <c:v>25.505334117434092</c:v>
                </c:pt>
                <c:pt idx="12">
                  <c:v>27.588000607253889</c:v>
                </c:pt>
                <c:pt idx="13">
                  <c:v>29.188118465482287</c:v>
                </c:pt>
                <c:pt idx="14">
                  <c:v>30.391453171562301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8.4</c:v>
                </c:pt>
                <c:pt idx="1">
                  <c:v>8.9</c:v>
                </c:pt>
                <c:pt idx="2">
                  <c:v>9.1999999999999993</c:v>
                </c:pt>
                <c:pt idx="3">
                  <c:v>9.8000000000000007</c:v>
                </c:pt>
                <c:pt idx="4">
                  <c:v>10.5</c:v>
                </c:pt>
                <c:pt idx="5">
                  <c:v>11</c:v>
                </c:pt>
                <c:pt idx="6">
                  <c:v>11.5</c:v>
                </c:pt>
                <c:pt idx="7">
                  <c:v>12</c:v>
                </c:pt>
                <c:pt idx="8">
                  <c:v>12.3</c:v>
                </c:pt>
                <c:pt idx="9">
                  <c:v>12.6</c:v>
                </c:pt>
                <c:pt idx="10">
                  <c:v>13</c:v>
                </c:pt>
                <c:pt idx="11">
                  <c:v>13.6</c:v>
                </c:pt>
                <c:pt idx="12">
                  <c:v>14</c:v>
                </c:pt>
                <c:pt idx="13">
                  <c:v>14.2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D-40CB-8EA4-278BCE157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393855"/>
        <c:axId val="346383295"/>
      </c:scatterChart>
      <c:valAx>
        <c:axId val="3463938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w_bx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83295"/>
        <c:crosses val="autoZero"/>
        <c:crossBetween val="midCat"/>
      </c:valAx>
      <c:valAx>
        <c:axId val="3463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Dòng</a:t>
                </a:r>
                <a:r>
                  <a:rPr lang="en-US" baseline="0"/>
                  <a:t> diện (A)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9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CalibCamBienDong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998622047244095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Sheet1!$F$2:$F$16</c:f>
              <c:numCache>
                <c:formatCode>General</c:formatCode>
                <c:ptCount val="15"/>
                <c:pt idx="0">
                  <c:v>2.8500301750150872</c:v>
                </c:pt>
                <c:pt idx="1">
                  <c:v>2.8685662557116993</c:v>
                </c:pt>
                <c:pt idx="2">
                  <c:v>2.8858091214759889</c:v>
                </c:pt>
                <c:pt idx="3">
                  <c:v>2.9082248469695666</c:v>
                </c:pt>
                <c:pt idx="4">
                  <c:v>2.9383998620570742</c:v>
                </c:pt>
                <c:pt idx="5">
                  <c:v>2.9599534442624367</c:v>
                </c:pt>
                <c:pt idx="6">
                  <c:v>2.9771963100267262</c:v>
                </c:pt>
                <c:pt idx="7">
                  <c:v>2.9987498922320888</c:v>
                </c:pt>
                <c:pt idx="8">
                  <c:v>3.0116820415553063</c:v>
                </c:pt>
                <c:pt idx="9">
                  <c:v>3.0246141908785242</c:v>
                </c:pt>
                <c:pt idx="10">
                  <c:v>3.0375463402017417</c:v>
                </c:pt>
                <c:pt idx="11">
                  <c:v>3.0634106388481763</c:v>
                </c:pt>
                <c:pt idx="12">
                  <c:v>3.0806535046124668</c:v>
                </c:pt>
                <c:pt idx="13">
                  <c:v>3.0806535046124668</c:v>
                </c:pt>
                <c:pt idx="14">
                  <c:v>3.1108285196999743</c:v>
                </c:pt>
              </c:numCache>
            </c:num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8.4</c:v>
                </c:pt>
                <c:pt idx="1">
                  <c:v>8.9</c:v>
                </c:pt>
                <c:pt idx="2">
                  <c:v>9.1999999999999993</c:v>
                </c:pt>
                <c:pt idx="3">
                  <c:v>9.8000000000000007</c:v>
                </c:pt>
                <c:pt idx="4">
                  <c:v>10.5</c:v>
                </c:pt>
                <c:pt idx="5">
                  <c:v>11</c:v>
                </c:pt>
                <c:pt idx="6">
                  <c:v>11.5</c:v>
                </c:pt>
                <c:pt idx="7">
                  <c:v>12</c:v>
                </c:pt>
                <c:pt idx="8">
                  <c:v>12.3</c:v>
                </c:pt>
                <c:pt idx="9">
                  <c:v>12.6</c:v>
                </c:pt>
                <c:pt idx="10">
                  <c:v>13</c:v>
                </c:pt>
                <c:pt idx="11">
                  <c:v>13.6</c:v>
                </c:pt>
                <c:pt idx="12">
                  <c:v>14</c:v>
                </c:pt>
                <c:pt idx="13">
                  <c:v>14.2</c:v>
                </c:pt>
                <c:pt idx="14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E-5543-B678-9DDDD3118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80208"/>
        <c:axId val="521556176"/>
      </c:scatterChart>
      <c:valAx>
        <c:axId val="52158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56176"/>
        <c:crosses val="autoZero"/>
        <c:crossBetween val="midCat"/>
      </c:valAx>
      <c:valAx>
        <c:axId val="52155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8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Momen</a:t>
            </a:r>
            <a:r>
              <a:rPr lang="en-US" b="1" baseline="0"/>
              <a:t> điện từ theo w_bx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0"/>
            <c:dispRSqr val="0"/>
            <c:dispEq val="1"/>
            <c:trendlineLbl>
              <c:layout>
                <c:manualLayout>
                  <c:x val="-0.35344643982473883"/>
                  <c:y val="5.98401556836049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Sheet1!$E$2:$E$16</c:f>
              <c:numCache>
                <c:formatCode>General</c:formatCode>
                <c:ptCount val="15"/>
                <c:pt idx="0">
                  <c:v>7.0205904068056952</c:v>
                </c:pt>
                <c:pt idx="1">
                  <c:v>8.6021623964024041</c:v>
                </c:pt>
                <c:pt idx="2">
                  <c:v>10.096052535037423</c:v>
                </c:pt>
                <c:pt idx="3">
                  <c:v>12.291062378149586</c:v>
                </c:pt>
                <c:pt idx="4">
                  <c:v>13.40109178241798</c:v>
                </c:pt>
                <c:pt idx="5">
                  <c:v>15.200177175373737</c:v>
                </c:pt>
                <c:pt idx="6">
                  <c:v>16.966380565221915</c:v>
                </c:pt>
                <c:pt idx="7">
                  <c:v>18.677920242897635</c:v>
                </c:pt>
                <c:pt idx="8">
                  <c:v>21.372883140902083</c:v>
                </c:pt>
                <c:pt idx="9">
                  <c:v>22.164564489606711</c:v>
                </c:pt>
                <c:pt idx="10">
                  <c:v>24.19528998088715</c:v>
                </c:pt>
                <c:pt idx="11">
                  <c:v>25.505334117434092</c:v>
                </c:pt>
                <c:pt idx="12">
                  <c:v>27.588000607253889</c:v>
                </c:pt>
                <c:pt idx="13">
                  <c:v>29.188118465482287</c:v>
                </c:pt>
                <c:pt idx="14">
                  <c:v>30.391453171562301</c:v>
                </c:pt>
              </c:numCache>
            </c:numRef>
          </c:xVal>
          <c:yVal>
            <c:numRef>
              <c:f>Sheet1!$G$2:$G$16</c:f>
              <c:numCache>
                <c:formatCode>General</c:formatCode>
                <c:ptCount val="15"/>
                <c:pt idx="0">
                  <c:v>0.31053340553339553</c:v>
                </c:pt>
                <c:pt idx="1">
                  <c:v>0.32574550266381314</c:v>
                </c:pt>
                <c:pt idx="2">
                  <c:v>0.3401142459398519</c:v>
                </c:pt>
                <c:pt idx="3">
                  <c:v>0.36122659691425135</c:v>
                </c:pt>
                <c:pt idx="4">
                  <c:v>0.37190323713450218</c:v>
                </c:pt>
                <c:pt idx="5">
                  <c:v>0.3892074521329843</c:v>
                </c:pt>
                <c:pt idx="6">
                  <c:v>0.40619539684569661</c:v>
                </c:pt>
                <c:pt idx="7">
                  <c:v>0.42265756738907206</c:v>
                </c:pt>
                <c:pt idx="8">
                  <c:v>0.44857863682946419</c:v>
                </c:pt>
                <c:pt idx="9">
                  <c:v>0.45619329721296381</c:v>
                </c:pt>
                <c:pt idx="10">
                  <c:v>0.47572550543476616</c:v>
                </c:pt>
                <c:pt idx="11">
                  <c:v>0.48832595535508105</c:v>
                </c:pt>
                <c:pt idx="12">
                  <c:v>0.50835774976077441</c:v>
                </c:pt>
                <c:pt idx="13">
                  <c:v>0.5237482273612869</c:v>
                </c:pt>
                <c:pt idx="14">
                  <c:v>0.53532230969816463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D5-4D0A-87AE-97AE35034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928848"/>
        <c:axId val="215926448"/>
      </c:scatterChart>
      <c:valAx>
        <c:axId val="21592884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w_bx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26448"/>
        <c:crosses val="autoZero"/>
        <c:crossBetween val="midCat"/>
      </c:valAx>
      <c:valAx>
        <c:axId val="2159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 điện</a:t>
                </a:r>
                <a:r>
                  <a:rPr lang="en-US" baseline="0"/>
                  <a:t> từ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2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 tổn hao cơ giới theo w_bx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0"/>
            <c:dispRSqr val="0"/>
            <c:dispEq val="1"/>
            <c:trendlineLbl>
              <c:layout>
                <c:manualLayout>
                  <c:x val="-0.20911436031742492"/>
                  <c:y val="3.27425901625496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Sheet1!$E$2:$E$16</c:f>
              <c:numCache>
                <c:formatCode>General</c:formatCode>
                <c:ptCount val="15"/>
                <c:pt idx="0">
                  <c:v>7.0205904068056952</c:v>
                </c:pt>
                <c:pt idx="1">
                  <c:v>8.6021623964024041</c:v>
                </c:pt>
                <c:pt idx="2">
                  <c:v>10.096052535037423</c:v>
                </c:pt>
                <c:pt idx="3">
                  <c:v>12.291062378149586</c:v>
                </c:pt>
                <c:pt idx="4">
                  <c:v>13.40109178241798</c:v>
                </c:pt>
                <c:pt idx="5">
                  <c:v>15.200177175373737</c:v>
                </c:pt>
                <c:pt idx="6">
                  <c:v>16.966380565221915</c:v>
                </c:pt>
                <c:pt idx="7">
                  <c:v>18.677920242897635</c:v>
                </c:pt>
                <c:pt idx="8">
                  <c:v>21.372883140902083</c:v>
                </c:pt>
                <c:pt idx="9">
                  <c:v>22.164564489606711</c:v>
                </c:pt>
                <c:pt idx="10">
                  <c:v>24.19528998088715</c:v>
                </c:pt>
                <c:pt idx="11">
                  <c:v>25.505334117434092</c:v>
                </c:pt>
                <c:pt idx="12">
                  <c:v>27.588000607253889</c:v>
                </c:pt>
                <c:pt idx="13">
                  <c:v>29.188118465482287</c:v>
                </c:pt>
                <c:pt idx="14">
                  <c:v>30.391453171562301</c:v>
                </c:pt>
              </c:numCache>
            </c:numRef>
          </c:xVal>
          <c:yVal>
            <c:numRef>
              <c:f>Sheet1!$H$2:$H$16</c:f>
              <c:numCache>
                <c:formatCode>General</c:formatCode>
                <c:ptCount val="15"/>
                <c:pt idx="0">
                  <c:v>4.6580010830009329</c:v>
                </c:pt>
                <c:pt idx="1">
                  <c:v>4.886182539957197</c:v>
                </c:pt>
                <c:pt idx="2">
                  <c:v>5.1017136890977781</c:v>
                </c:pt>
                <c:pt idx="3">
                  <c:v>5.41839895371377</c:v>
                </c:pt>
                <c:pt idx="4">
                  <c:v>5.578548557017533</c:v>
                </c:pt>
                <c:pt idx="5">
                  <c:v>5.8381117819947645</c:v>
                </c:pt>
                <c:pt idx="6">
                  <c:v>6.0929309526854496</c:v>
                </c:pt>
                <c:pt idx="7">
                  <c:v>6.3398635108360812</c:v>
                </c:pt>
                <c:pt idx="8">
                  <c:v>6.7286795524419629</c:v>
                </c:pt>
                <c:pt idx="9">
                  <c:v>6.8428994581944576</c:v>
                </c:pt>
                <c:pt idx="10">
                  <c:v>7.1358825815214928</c:v>
                </c:pt>
                <c:pt idx="11">
                  <c:v>7.3248893303262159</c:v>
                </c:pt>
                <c:pt idx="12">
                  <c:v>7.6253662464116161</c:v>
                </c:pt>
                <c:pt idx="13">
                  <c:v>7.8562234104193038</c:v>
                </c:pt>
                <c:pt idx="14">
                  <c:v>8.0298346454724694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A-41E3-B439-797B25324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618624"/>
        <c:axId val="543621024"/>
      </c:scatterChart>
      <c:valAx>
        <c:axId val="5436186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w_bx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21024"/>
        <c:crosses val="autoZero"/>
        <c:crossBetween val="midCat"/>
      </c:valAx>
      <c:valAx>
        <c:axId val="5436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</a:t>
                </a:r>
                <a:r>
                  <a:rPr lang="en-US" baseline="0"/>
                  <a:t> tổn hao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5</xdr:row>
      <xdr:rowOff>101600</xdr:rowOff>
    </xdr:from>
    <xdr:to>
      <xdr:col>16</xdr:col>
      <xdr:colOff>130175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BDD21-DBC5-9BB3-2114-031BD19F6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558800</xdr:colOff>
      <xdr:row>22</xdr:row>
      <xdr:rowOff>152400</xdr:rowOff>
    </xdr:from>
    <xdr:to>
      <xdr:col>16</xdr:col>
      <xdr:colOff>419100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EA3A54-758E-394D-98BC-506BA5311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587375</xdr:colOff>
      <xdr:row>5</xdr:row>
      <xdr:rowOff>107950</xdr:rowOff>
    </xdr:from>
    <xdr:to>
      <xdr:col>24</xdr:col>
      <xdr:colOff>180975</xdr:colOff>
      <xdr:row>20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512DA6-83EA-8475-A12E-06DEF0BB7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468586</xdr:colOff>
      <xdr:row>6</xdr:row>
      <xdr:rowOff>28246</xdr:rowOff>
    </xdr:from>
    <xdr:to>
      <xdr:col>32</xdr:col>
      <xdr:colOff>65252</xdr:colOff>
      <xdr:row>21</xdr:row>
      <xdr:rowOff>12480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A10580-2851-393F-031E-407383FF5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4389-F6BF-4501-99FE-04AC0DEAB77F}">
  <dimension ref="A1:H16"/>
  <sheetViews>
    <sheetView tabSelected="1" topLeftCell="H1" zoomScaleNormal="100" workbookViewId="0">
      <selection activeCell="X29" sqref="X29"/>
    </sheetView>
  </sheetViews>
  <sheetFormatPr defaultColWidth="8.90625" defaultRowHeight="14.5" x14ac:dyDescent="0.35"/>
  <cols>
    <col min="2" max="2" width="13.6328125" bestFit="1" customWidth="1"/>
    <col min="3" max="3" width="12.453125" customWidth="1"/>
    <col min="4" max="4" width="18.90625" customWidth="1"/>
    <col min="5" max="5" width="11.36328125" customWidth="1"/>
    <col min="6" max="6" width="16" bestFit="1" customWidth="1"/>
  </cols>
  <sheetData>
    <row r="1" spans="1:8" x14ac:dyDescent="0.35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5</v>
      </c>
      <c r="G1" t="s">
        <v>6</v>
      </c>
      <c r="H1" t="s">
        <v>7</v>
      </c>
    </row>
    <row r="2" spans="1:8" x14ac:dyDescent="0.35">
      <c r="A2">
        <v>5</v>
      </c>
      <c r="B2">
        <v>8.35</v>
      </c>
      <c r="C2">
        <v>8.4</v>
      </c>
      <c r="D2">
        <v>67.041700000000006</v>
      </c>
      <c r="E2">
        <f t="shared" ref="E2:E16" si="0">D2*2*PI()/60</f>
        <v>7.0205904068056952</v>
      </c>
      <c r="F2">
        <f>(B2+57.765)/23.198</f>
        <v>2.8500301750150872</v>
      </c>
      <c r="G2">
        <f>0.0362*(0.2657*E2+6.7129)</f>
        <v>0.31053340553339553</v>
      </c>
      <c r="H2">
        <f>G2*15</f>
        <v>4.6580010830009329</v>
      </c>
    </row>
    <row r="3" spans="1:8" x14ac:dyDescent="0.35">
      <c r="A3">
        <v>6</v>
      </c>
      <c r="B3">
        <v>8.7799999999999994</v>
      </c>
      <c r="C3">
        <v>8.9</v>
      </c>
      <c r="D3">
        <v>82.144599999999997</v>
      </c>
      <c r="E3">
        <f t="shared" si="0"/>
        <v>8.6021623964024041</v>
      </c>
      <c r="F3">
        <f t="shared" ref="F3:F16" si="1">(B3+57.765)/23.198</f>
        <v>2.8685662557116993</v>
      </c>
      <c r="G3">
        <f t="shared" ref="G3:G16" si="2">0.0362*(0.2657*E3+6.7129)</f>
        <v>0.32574550266381314</v>
      </c>
      <c r="H3">
        <f t="shared" ref="H3:H16" si="3">G3*15</f>
        <v>4.886182539957197</v>
      </c>
    </row>
    <row r="4" spans="1:8" x14ac:dyDescent="0.35">
      <c r="A4">
        <v>7</v>
      </c>
      <c r="B4">
        <v>9.18</v>
      </c>
      <c r="C4">
        <v>9.1999999999999993</v>
      </c>
      <c r="D4">
        <v>96.410200000000003</v>
      </c>
      <c r="E4">
        <f t="shared" si="0"/>
        <v>10.096052535037423</v>
      </c>
      <c r="F4">
        <f t="shared" si="1"/>
        <v>2.8858091214759889</v>
      </c>
      <c r="G4">
        <f t="shared" si="2"/>
        <v>0.3401142459398519</v>
      </c>
      <c r="H4">
        <f t="shared" si="3"/>
        <v>5.1017136890977781</v>
      </c>
    </row>
    <row r="5" spans="1:8" x14ac:dyDescent="0.35">
      <c r="A5">
        <v>8</v>
      </c>
      <c r="B5">
        <v>9.6999999999999993</v>
      </c>
      <c r="C5">
        <v>9.8000000000000007</v>
      </c>
      <c r="D5">
        <v>117.371</v>
      </c>
      <c r="E5">
        <f t="shared" si="0"/>
        <v>12.291062378149586</v>
      </c>
      <c r="F5">
        <f t="shared" si="1"/>
        <v>2.9082248469695666</v>
      </c>
      <c r="G5">
        <f t="shared" si="2"/>
        <v>0.36122659691425135</v>
      </c>
      <c r="H5">
        <f t="shared" si="3"/>
        <v>5.41839895371377</v>
      </c>
    </row>
    <row r="6" spans="1:8" x14ac:dyDescent="0.35">
      <c r="A6">
        <v>9</v>
      </c>
      <c r="B6">
        <v>10.4</v>
      </c>
      <c r="C6">
        <v>10.5</v>
      </c>
      <c r="D6">
        <v>127.971</v>
      </c>
      <c r="E6">
        <f t="shared" si="0"/>
        <v>13.40109178241798</v>
      </c>
      <c r="F6">
        <f t="shared" si="1"/>
        <v>2.9383998620570742</v>
      </c>
      <c r="G6">
        <f t="shared" si="2"/>
        <v>0.37190323713450218</v>
      </c>
      <c r="H6">
        <f t="shared" si="3"/>
        <v>5.578548557017533</v>
      </c>
    </row>
    <row r="7" spans="1:8" x14ac:dyDescent="0.35">
      <c r="A7">
        <v>10</v>
      </c>
      <c r="B7">
        <v>10.9</v>
      </c>
      <c r="C7">
        <v>11</v>
      </c>
      <c r="D7">
        <v>145.15100000000001</v>
      </c>
      <c r="E7">
        <f t="shared" si="0"/>
        <v>15.200177175373737</v>
      </c>
      <c r="F7">
        <f t="shared" si="1"/>
        <v>2.9599534442624367</v>
      </c>
      <c r="G7">
        <f t="shared" si="2"/>
        <v>0.3892074521329843</v>
      </c>
      <c r="H7">
        <f t="shared" si="3"/>
        <v>5.8381117819947645</v>
      </c>
    </row>
    <row r="8" spans="1:8" x14ac:dyDescent="0.35">
      <c r="A8">
        <v>11</v>
      </c>
      <c r="B8">
        <v>11.3</v>
      </c>
      <c r="C8">
        <v>11.5</v>
      </c>
      <c r="D8">
        <v>162.017</v>
      </c>
      <c r="E8">
        <f t="shared" si="0"/>
        <v>16.966380565221915</v>
      </c>
      <c r="F8">
        <f t="shared" si="1"/>
        <v>2.9771963100267262</v>
      </c>
      <c r="G8">
        <f t="shared" si="2"/>
        <v>0.40619539684569661</v>
      </c>
      <c r="H8">
        <f t="shared" si="3"/>
        <v>6.0929309526854496</v>
      </c>
    </row>
    <row r="9" spans="1:8" x14ac:dyDescent="0.35">
      <c r="A9">
        <v>12</v>
      </c>
      <c r="B9">
        <v>11.8</v>
      </c>
      <c r="C9">
        <v>12</v>
      </c>
      <c r="D9">
        <v>178.36099999999999</v>
      </c>
      <c r="E9">
        <f t="shared" si="0"/>
        <v>18.677920242897635</v>
      </c>
      <c r="F9">
        <f t="shared" si="1"/>
        <v>2.9987498922320888</v>
      </c>
      <c r="G9">
        <f t="shared" si="2"/>
        <v>0.42265756738907206</v>
      </c>
      <c r="H9">
        <f t="shared" si="3"/>
        <v>6.3398635108360812</v>
      </c>
    </row>
    <row r="10" spans="1:8" x14ac:dyDescent="0.35">
      <c r="A10">
        <v>13</v>
      </c>
      <c r="B10">
        <v>12.1</v>
      </c>
      <c r="C10">
        <v>12.3</v>
      </c>
      <c r="D10">
        <v>204.096</v>
      </c>
      <c r="E10">
        <f t="shared" si="0"/>
        <v>21.372883140902083</v>
      </c>
      <c r="F10">
        <f t="shared" si="1"/>
        <v>3.0116820415553063</v>
      </c>
      <c r="G10">
        <f t="shared" si="2"/>
        <v>0.44857863682946419</v>
      </c>
      <c r="H10">
        <f t="shared" si="3"/>
        <v>6.7286795524419629</v>
      </c>
    </row>
    <row r="11" spans="1:8" x14ac:dyDescent="0.35">
      <c r="A11">
        <v>14</v>
      </c>
      <c r="B11">
        <v>12.4</v>
      </c>
      <c r="C11">
        <v>12.6</v>
      </c>
      <c r="D11">
        <v>211.65600000000001</v>
      </c>
      <c r="E11">
        <f t="shared" si="0"/>
        <v>22.164564489606711</v>
      </c>
      <c r="F11">
        <f t="shared" si="1"/>
        <v>3.0246141908785242</v>
      </c>
      <c r="G11">
        <f t="shared" si="2"/>
        <v>0.45619329721296381</v>
      </c>
      <c r="H11">
        <f t="shared" si="3"/>
        <v>6.8428994581944576</v>
      </c>
    </row>
    <row r="12" spans="1:8" x14ac:dyDescent="0.35">
      <c r="A12">
        <v>15</v>
      </c>
      <c r="B12">
        <v>12.7</v>
      </c>
      <c r="C12">
        <v>13</v>
      </c>
      <c r="D12">
        <v>231.048</v>
      </c>
      <c r="E12">
        <f t="shared" si="0"/>
        <v>24.19528998088715</v>
      </c>
      <c r="F12">
        <f t="shared" si="1"/>
        <v>3.0375463402017417</v>
      </c>
      <c r="G12">
        <f t="shared" si="2"/>
        <v>0.47572550543476616</v>
      </c>
      <c r="H12">
        <f t="shared" si="3"/>
        <v>7.1358825815214928</v>
      </c>
    </row>
    <row r="13" spans="1:8" x14ac:dyDescent="0.35">
      <c r="A13">
        <v>16</v>
      </c>
      <c r="B13">
        <v>13.3</v>
      </c>
      <c r="C13">
        <v>13.6</v>
      </c>
      <c r="D13">
        <v>243.55799999999999</v>
      </c>
      <c r="E13">
        <f t="shared" si="0"/>
        <v>25.505334117434092</v>
      </c>
      <c r="F13">
        <f t="shared" si="1"/>
        <v>3.0634106388481763</v>
      </c>
      <c r="G13">
        <f t="shared" si="2"/>
        <v>0.48832595535508105</v>
      </c>
      <c r="H13">
        <f t="shared" si="3"/>
        <v>7.3248893303262159</v>
      </c>
    </row>
    <row r="14" spans="1:8" x14ac:dyDescent="0.35">
      <c r="A14">
        <v>17</v>
      </c>
      <c r="B14">
        <v>13.7</v>
      </c>
      <c r="C14">
        <v>14</v>
      </c>
      <c r="D14">
        <v>263.44600000000003</v>
      </c>
      <c r="E14">
        <f t="shared" si="0"/>
        <v>27.588000607253889</v>
      </c>
      <c r="F14">
        <f t="shared" si="1"/>
        <v>3.0806535046124668</v>
      </c>
      <c r="G14">
        <f t="shared" si="2"/>
        <v>0.50835774976077441</v>
      </c>
      <c r="H14">
        <f t="shared" si="3"/>
        <v>7.6253662464116161</v>
      </c>
    </row>
    <row r="15" spans="1:8" x14ac:dyDescent="0.35">
      <c r="A15">
        <v>18</v>
      </c>
      <c r="B15">
        <v>13.7</v>
      </c>
      <c r="C15">
        <v>14.2</v>
      </c>
      <c r="D15">
        <v>278.726</v>
      </c>
      <c r="E15">
        <f t="shared" si="0"/>
        <v>29.188118465482287</v>
      </c>
      <c r="F15">
        <f t="shared" si="1"/>
        <v>3.0806535046124668</v>
      </c>
      <c r="G15">
        <f t="shared" si="2"/>
        <v>0.5237482273612869</v>
      </c>
      <c r="H15">
        <f t="shared" si="3"/>
        <v>7.8562234104193038</v>
      </c>
    </row>
    <row r="16" spans="1:8" x14ac:dyDescent="0.35">
      <c r="A16">
        <v>19</v>
      </c>
      <c r="B16">
        <v>14.4</v>
      </c>
      <c r="C16">
        <v>14.8</v>
      </c>
      <c r="D16">
        <v>290.21699999999998</v>
      </c>
      <c r="E16">
        <f t="shared" si="0"/>
        <v>30.391453171562301</v>
      </c>
      <c r="F16">
        <f t="shared" si="1"/>
        <v>3.1108285196999743</v>
      </c>
      <c r="G16">
        <f t="shared" si="2"/>
        <v>0.53532230969816463</v>
      </c>
      <c r="H16">
        <f t="shared" si="3"/>
        <v>8.0298346454724694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2025-05-07T04:07:24Z</dcterms:created>
  <dcterms:modified xsi:type="dcterms:W3CDTF">2025-05-20T10:16:35Z</dcterms:modified>
</cp:coreProperties>
</file>